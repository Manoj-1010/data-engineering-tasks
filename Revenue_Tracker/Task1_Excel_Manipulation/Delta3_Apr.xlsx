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9917"/>
  <mc:AlternateContent xmlns:mc="http://schemas.openxmlformats.org/markup-compatibility/2006">
    <mc:Choice Requires="x15">
      <x15ac:absPath xmlns:x15ac="http://schemas.microsoft.com/office/spreadsheetml/2010/11/ac" url="C:\Users\manoj.surulirajan\Documents\Programs\Excel_data_loading\"/>
    </mc:Choice>
  </mc:AlternateContent>
  <bookViews>
    <workbookView xWindow="-108" yWindow="-108" windowWidth="23256" windowHeight="12456" firstSheet="2"/>
  </bookViews>
  <sheets>
    <sheet name="April" sheetId="1" r:id="rId1"/>
    <sheet name="May" sheetId="2" r:id="rId2"/>
    <sheet name="June" sheetId="3" r:id="rId3"/>
  </sheets>
  <externalReferences>
    <externalReference r:id="rId4"/>
  </externalReferences>
  <definedNames>
    <definedName name="_xlnm._FilterDatabase" localSheetId="0" hidden="1">April!$A$2:$B$2</definedName>
  </definedNames>
  <calcPr calcId="191028"/>
</workbook>
</file>

<file path=xl/calcChain.xml><?xml version="1.0" encoding="utf-8"?>
<calcChain xmlns="http://schemas.openxmlformats.org/spreadsheetml/2006/main">
  <c i="1" l="1" r="B1"/>
</calcChain>
</file>

<file path=xl/sharedStrings.xml><?xml version="1.0" encoding="utf-8"?>
<sst xmlns="http://schemas.openxmlformats.org/spreadsheetml/2006/main">
  <si>
    <t>Project Name</t>
  </si>
  <si>
    <t>Grand Total</t>
  </si>
  <si>
    <t>Revenue</t>
  </si>
  <si>
    <t>Production Hours</t>
  </si>
  <si>
    <t>Quality Hours</t>
  </si>
  <si>
    <t>Total Hours</t>
  </si>
  <si>
    <t>Revenue %</t>
  </si>
  <si>
    <t>Direct Cost : Salary Operations</t>
  </si>
  <si>
    <t>Salary - Core employees</t>
  </si>
  <si>
    <t>Salary - Quality</t>
  </si>
  <si>
    <t>Salary - TL / Managers</t>
  </si>
  <si>
    <t>Salary - Consultants</t>
  </si>
  <si>
    <t>IT / Ops Support Cost - Billable project support</t>
  </si>
  <si>
    <t>Gratuity + Insurance</t>
  </si>
  <si>
    <t>Performance payments - Incentive &amp; Others</t>
  </si>
  <si>
    <t>Other Payout - Severance / Settlement</t>
  </si>
  <si>
    <t>Total salary allocation for project</t>
  </si>
  <si>
    <t>Total salary allocation %</t>
  </si>
  <si>
    <t>£295,000</t>
  </si>
  <si>
    <t>£148,000</t>
  </si>
  <si>
    <t>£0</t>
  </si>
  <si>
    <t>£25,000</t>
  </si>
  <si>
    <t>£2,900</t>
  </si>
  <si>
    <t>£600</t>
  </si>
  <si>
    <t>£1,000</t>
  </si>
  <si>
    <t>£217,500</t>
  </si>
  <si>
    <t>£345,000</t>
  </si>
  <si>
    <t>£170,000</t>
  </si>
  <si>
    <t>£30,000</t>
  </si>
  <si>
    <t>£3,400</t>
  </si>
  <si>
    <t>£700</t>
  </si>
  <si>
    <t>£1,400</t>
  </si>
  <si>
    <t>£245,500</t>
  </si>
</sst>
</file>

<file path=xl/styles.xml><?xml version="1.0" encoding="utf-8"?>
<styleSheet xmlns="http://schemas.openxmlformats.org/spreadsheetml/2006/main">
  <numFmts count="3">
    <numFmt numFmtId="165" formatCode="_ * #,##0_ ;_ * -#,##0_ ;_ * &quot;-&quot;??_ ;_ @_ "/>
    <numFmt numFmtId="164" formatCode="_ * #,##0.00_ ;_ * -#,##0.00_ ;_ * &quot;-&quot;??_ ;_ @_ "/>
    <numFmt numFmtId="166" formatCode="[$£-809]#,##0"/>
  </numFmts>
  <fonts count="7">
    <font>
      <sz val="11"/>
      <color theme="1"/>
      <name val="Calibri"/>
      <family val="2"/>
      <scheme val="minor"/>
    </font>
    <font>
      <sz val="10.5"/>
      <name val="Calibri Light"/>
      <scheme val="major"/>
    </font>
    <font>
      <b/>
      <sz val="10.5"/>
      <color theme="1"/>
      <name val="Calibri Light"/>
      <scheme val="major"/>
    </font>
    <font>
      <b/>
      <sz val="10.5"/>
      <name val="Calibri Light"/>
      <scheme val="maj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3.5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3">
    <xf numFmtId="0" fontId="0" fillId="0" borderId="0"/>
    <xf numFmtId="164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horizontal="right" vertical="top"/>
    </xf>
    <xf numFmtId="165" fontId="1" fillId="0" borderId="0" xfId="1" applyNumberFormat="1" applyFont="1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left" vertical="top"/>
    </xf>
    <xf numFmtId="166" fontId="3" fillId="0" borderId="0" xfId="1" applyNumberFormat="1" applyFont="1" applyAlignment="1">
      <alignment horizontal="right" vertical="top"/>
    </xf>
    <xf numFmtId="165" fontId="3" fillId="0" borderId="0" xfId="1" applyNumberFormat="1" applyFont="1" applyAlignment="1">
      <alignment horizontal="left"/>
    </xf>
    <xf numFmtId="165" fontId="3" fillId="0" borderId="0" xfId="1" applyNumberFormat="1" applyFont="1"/>
    <xf numFmtId="0" fontId="3" fillId="0" borderId="0" xfId="0" applyFont="1"/>
    <xf numFmtId="9" fontId="3" fillId="0" borderId="0" xfId="2" applyFont="1"/>
    <xf numFmtId="0" fontId="1" fillId="2" borderId="0" xfId="0" applyFont="1" applyFill="1"/>
    <xf numFmtId="166" fontId="3" fillId="0" borderId="0" xfId="1" applyNumberFormat="1" applyFont="1"/>
    <xf numFmtId="166" fontId="3" fillId="0" borderId="0" xfId="2" applyNumberFormat="1" applyFont="1" applyBorder="1"/>
    <xf numFmtId="9" fontId="3" fillId="0" borderId="0" xfId="2" applyFont="1" applyBorder="1"/>
    <xf numFmtId="0" fontId="4" fillId="0" borderId="0" xfId="0" applyFont="1"/>
    <xf numFmtId="3" fontId="4" fillId="0" borderId="0" xfId="0" applyNumberFormat="1" applyFont="1"/>
    <xf numFmtId="9" fontId="4" fillId="0" borderId="0" xfId="0" applyNumberFormat="1" applyFont="1"/>
    <xf numFmtId="2" fontId="4" fillId="0" borderId="0" xfId="0" applyNumberFormat="1" applyFont="1"/>
    <xf numFmtId="3" fontId="0" fillId="0" borderId="0" xfId="0" applyNumberFormat="1"/>
    <xf numFmtId="9" fontId="0" fillId="0" borderId="0" xfId="0" applyNumberFormat="1"/>
    <xf numFmtId="0" fontId="5" fillId="0" borderId="0" xfId="0" applyFont="1"/>
    <xf numFmtId="0" fontId="6" fillId="0" borderId="0" xfId="0" applyFont="1"/>
  </cellXfs>
  <cellStyles count="3">
    <cellStyle name="Normal" xfId="0" builtinId="0"/>
    <cellStyle name="Comma" xfId="1" builtinId="3"/>
    <cellStyle name="Percent" xfId="2" builtinId="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externalLink" Target="externalLinks/externalLink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Right" state="frozen" topLeftCell="C3" xSplit="2" ySplit="2"/>
      <selection pane="topRight" activeCell="C1" sqref="C1"/>
      <selection pane="bottomLeft" activeCell="A3" sqref="A3"/>
      <selection pane="bottomRight" activeCell="B17" sqref="B17"/>
    </sheetView>
  </sheetViews>
  <sheetFormatPr defaultColWidth="12.57031" defaultRowHeight="14.25"/>
  <cols>
    <col min="1" max="1" width="38.71094" style="5" bestFit="1" customWidth="1"/>
    <col min="2" max="2" width="13.57031" style="5" bestFit="1" customWidth="1"/>
    <col min="3" max="16384" width="12.57031" style="5"/>
  </cols>
  <sheetData>
    <row r="1">
      <c r="A1" s="6">
        <v>108</v>
      </c>
      <c r="B1" s="6">
        <f>'[1]Ops &amp; Tech'!A1</f>
        <v>112.86</v>
      </c>
    </row>
    <row r="2" s="1" customFormat="1">
      <c r="A2" s="7" t="s">
        <v>0</v>
      </c>
      <c r="B2" s="7" t="s">
        <v>1</v>
      </c>
    </row>
    <row r="3" s="2" customFormat="1">
      <c r="A3" s="8"/>
      <c r="B3" s="9"/>
    </row>
    <row r="4" s="3" customFormat="1">
      <c r="A4" s="10" t="s">
        <v>2</v>
      </c>
      <c r="B4" s="11">
        <v>320000</v>
      </c>
    </row>
    <row r="5" s="4" customFormat="1">
      <c r="A5" s="12" t="s">
        <v>3</v>
      </c>
      <c r="B5" s="13">
        <v>23179.230000000003</v>
      </c>
    </row>
    <row r="6" s="4" customFormat="1">
      <c r="A6" s="12" t="s">
        <v>4</v>
      </c>
      <c r="B6" s="13">
        <v>1404.3900000000001</v>
      </c>
    </row>
    <row r="7" s="4" customFormat="1">
      <c r="A7" s="12" t="s">
        <v>5</v>
      </c>
      <c r="B7" s="13">
        <v>25726.430000000004</v>
      </c>
    </row>
    <row r="8">
      <c r="A8" s="14" t="s">
        <v>6</v>
      </c>
      <c r="B8" s="15">
        <v>0.41551917231843205</v>
      </c>
    </row>
    <row r="10">
      <c r="A10" s="14" t="s">
        <v>7</v>
      </c>
    </row>
    <row r="11">
      <c r="A11" s="16" t="s">
        <v>8</v>
      </c>
      <c r="B11" s="11">
        <v>160000</v>
      </c>
    </row>
    <row r="12">
      <c r="A12" s="5" t="s">
        <v>9</v>
      </c>
      <c r="B12" s="11">
        <v>0</v>
      </c>
    </row>
    <row r="13">
      <c r="A13" s="16" t="s">
        <v>10</v>
      </c>
      <c r="B13" s="11">
        <v>0</v>
      </c>
    </row>
    <row r="14">
      <c r="A14" s="16" t="s">
        <v>11</v>
      </c>
      <c r="B14" s="11">
        <v>28000</v>
      </c>
    </row>
    <row r="15">
      <c r="A15" s="5" t="s">
        <v>12</v>
      </c>
      <c r="B15" s="11">
        <v>3148.3291562238933</v>
      </c>
    </row>
    <row r="16">
      <c r="A16" s="5" t="s">
        <v>13</v>
      </c>
      <c r="B16" s="11">
        <v>655.58376151803748</v>
      </c>
    </row>
    <row r="17">
      <c r="A17" s="16" t="s">
        <v>14</v>
      </c>
      <c r="B17" s="11">
        <v>1255.3802779122511</v>
      </c>
    </row>
    <row r="18">
      <c r="A18" s="5" t="s">
        <v>15</v>
      </c>
      <c r="B18" s="11">
        <v>0</v>
      </c>
    </row>
    <row r="19">
      <c r="B19" s="17"/>
    </row>
    <row r="20">
      <c r="B20" s="17"/>
    </row>
    <row r="21">
      <c r="A21" s="14" t="s">
        <v>16</v>
      </c>
      <c r="B21" s="18">
        <v>234311.36820849151</v>
      </c>
    </row>
    <row r="22">
      <c r="A22" s="14" t="s">
        <v>17</v>
      </c>
      <c r="B22" s="19">
        <v>0.73222302565153596</v>
      </c>
    </row>
    <row r="23">
      <c r="B23" s="17"/>
    </row>
  </sheetData>
  <pageSetup r:id="rId1" paperSize="9" orientation="portrait" verticalDpi="598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2" sqref="G22"/>
    </sheetView>
  </sheetViews>
  <sheetFormatPr defaultRowHeight="15"/>
  <cols>
    <col min="1" max="1" width="43.71094" bestFit="1" customWidth="1"/>
    <col min="2" max="2" width="9.710938" bestFit="1" customWidth="1"/>
  </cols>
  <sheetData>
    <row r="1" ht="28.5">
      <c r="A1" s="7" t="s">
        <v>0</v>
      </c>
      <c r="B1" s="7" t="s">
        <v>1</v>
      </c>
    </row>
    <row r="2">
      <c r="A2" s="8"/>
      <c r="B2" s="9"/>
    </row>
    <row r="3">
      <c r="A3" s="10" t="s">
        <v>2</v>
      </c>
      <c r="B3" s="20" t="s">
        <v>18</v>
      </c>
    </row>
    <row r="4">
      <c r="A4" s="12" t="s">
        <v>3</v>
      </c>
      <c r="B4" s="21">
        <v>21850</v>
      </c>
    </row>
    <row r="5">
      <c r="A5" s="12" t="s">
        <v>4</v>
      </c>
      <c r="B5" s="21">
        <v>1250</v>
      </c>
    </row>
    <row r="6">
      <c r="A6" s="12" t="s">
        <v>5</v>
      </c>
      <c r="B6" s="21">
        <v>24300</v>
      </c>
    </row>
    <row r="7">
      <c r="A7" s="14" t="s">
        <v>6</v>
      </c>
      <c r="B7" s="22">
        <v>0.40000000000000002</v>
      </c>
    </row>
    <row r="8">
      <c r="A8" s="5"/>
      <c r="B8" s="5"/>
    </row>
    <row r="9">
      <c r="A9" s="14" t="s">
        <v>7</v>
      </c>
      <c r="B9" s="5"/>
    </row>
    <row r="10">
      <c r="A10" s="16" t="s">
        <v>8</v>
      </c>
      <c r="B10" s="23" t="s">
        <v>19</v>
      </c>
    </row>
    <row r="11">
      <c r="A11" s="5" t="s">
        <v>9</v>
      </c>
      <c r="B11" s="23" t="s">
        <v>20</v>
      </c>
    </row>
    <row r="12">
      <c r="A12" s="16" t="s">
        <v>10</v>
      </c>
      <c r="B12" s="23" t="s">
        <v>20</v>
      </c>
      <c r="I12" s="20"/>
      <c r="J12" s="20"/>
    </row>
    <row r="13">
      <c r="A13" s="16" t="s">
        <v>11</v>
      </c>
      <c r="B13" s="23" t="s">
        <v>21</v>
      </c>
      <c r="H13" s="24"/>
    </row>
    <row r="14">
      <c r="A14" s="5" t="s">
        <v>12</v>
      </c>
      <c r="B14" s="23" t="s">
        <v>22</v>
      </c>
      <c r="H14" s="24"/>
    </row>
    <row r="15">
      <c r="A15" s="5" t="s">
        <v>13</v>
      </c>
      <c r="B15" s="23" t="s">
        <v>23</v>
      </c>
      <c r="H15" s="24"/>
    </row>
    <row r="16">
      <c r="A16" s="16" t="s">
        <v>14</v>
      </c>
      <c r="B16" s="23" t="s">
        <v>24</v>
      </c>
      <c r="H16" s="25"/>
    </row>
    <row r="17">
      <c r="A17" s="5" t="s">
        <v>15</v>
      </c>
      <c r="B17" s="23" t="s">
        <v>20</v>
      </c>
    </row>
    <row r="18">
      <c r="A18" s="5"/>
      <c r="B18" s="17"/>
    </row>
    <row r="19">
      <c r="A19" s="5"/>
      <c r="B19" s="17"/>
    </row>
    <row r="20">
      <c r="A20" s="14" t="s">
        <v>16</v>
      </c>
      <c r="B20" s="18" t="s">
        <v>25</v>
      </c>
    </row>
    <row r="21">
      <c r="A21" s="14" t="s">
        <v>17</v>
      </c>
      <c r="B21" s="19">
        <v>0.73999999999999999</v>
      </c>
      <c r="I21" s="26"/>
    </row>
    <row r="22">
      <c r="I22" s="20"/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A4">
      <selection activeCell="K20" sqref="K4:K20"/>
    </sheetView>
  </sheetViews>
  <sheetFormatPr defaultRowHeight="15"/>
  <cols>
    <col min="1" max="1" width="43.71094" bestFit="1" customWidth="1"/>
    <col min="2" max="2" width="9.710938" bestFit="1" customWidth="1"/>
  </cols>
  <sheetData>
    <row r="1" ht="28.5">
      <c r="A1" s="7" t="s">
        <v>0</v>
      </c>
      <c r="B1" s="7" t="s">
        <v>1</v>
      </c>
    </row>
    <row r="2">
      <c r="A2" s="8"/>
      <c r="B2" s="9"/>
    </row>
    <row r="3">
      <c r="A3" s="10" t="s">
        <v>2</v>
      </c>
      <c r="B3" s="20" t="s">
        <v>26</v>
      </c>
    </row>
    <row r="4">
      <c r="A4" s="12" t="s">
        <v>3</v>
      </c>
      <c r="B4" s="21">
        <v>24500</v>
      </c>
      <c r="J4" s="20"/>
      <c r="K4" s="20"/>
    </row>
    <row r="5">
      <c r="A5" s="12" t="s">
        <v>4</v>
      </c>
      <c r="B5" s="21">
        <v>1500</v>
      </c>
    </row>
    <row r="6">
      <c r="A6" s="12" t="s">
        <v>5</v>
      </c>
      <c r="B6" s="21">
        <v>27000</v>
      </c>
      <c r="K6" s="24"/>
    </row>
    <row r="7">
      <c r="A7" s="14" t="s">
        <v>6</v>
      </c>
      <c r="B7" s="22">
        <v>0.44</v>
      </c>
      <c r="K7" s="24"/>
    </row>
    <row r="8">
      <c r="A8" s="5"/>
      <c r="B8" s="5"/>
      <c r="K8" s="24"/>
    </row>
    <row r="9">
      <c r="A9" s="14" t="s">
        <v>7</v>
      </c>
      <c r="B9" s="5"/>
      <c r="K9" s="25"/>
    </row>
    <row r="10" ht="18">
      <c r="A10" s="16" t="s">
        <v>8</v>
      </c>
      <c r="B10" s="20" t="s">
        <v>27</v>
      </c>
      <c r="J10" s="27"/>
    </row>
    <row r="11">
      <c r="A11" s="5" t="s">
        <v>9</v>
      </c>
      <c r="B11" s="20" t="s">
        <v>20</v>
      </c>
      <c r="J11" s="20"/>
      <c r="K11" s="20"/>
    </row>
    <row r="12">
      <c r="A12" s="16" t="s">
        <v>10</v>
      </c>
      <c r="B12" s="20" t="s">
        <v>20</v>
      </c>
    </row>
    <row r="13">
      <c r="A13" s="16" t="s">
        <v>11</v>
      </c>
      <c r="B13" s="20" t="s">
        <v>28</v>
      </c>
    </row>
    <row r="14">
      <c r="A14" s="5" t="s">
        <v>12</v>
      </c>
      <c r="B14" s="20" t="s">
        <v>29</v>
      </c>
    </row>
    <row r="15">
      <c r="A15" s="5" t="s">
        <v>13</v>
      </c>
      <c r="B15" s="20" t="s">
        <v>30</v>
      </c>
    </row>
    <row r="16">
      <c r="A16" s="16" t="s">
        <v>14</v>
      </c>
      <c r="B16" s="20" t="s">
        <v>31</v>
      </c>
    </row>
    <row r="17">
      <c r="A17" s="5" t="s">
        <v>15</v>
      </c>
      <c r="B17" s="20" t="s">
        <v>20</v>
      </c>
    </row>
    <row r="18">
      <c r="A18" s="5"/>
      <c r="B18" s="17"/>
    </row>
    <row r="19">
      <c r="A19" s="5"/>
      <c r="B19" s="17"/>
    </row>
    <row r="20">
      <c r="A20" s="14" t="s">
        <v>16</v>
      </c>
      <c r="B20" s="18" t="s">
        <v>32</v>
      </c>
      <c r="J20" s="26"/>
    </row>
    <row r="21">
      <c r="A21" s="14" t="s">
        <v>17</v>
      </c>
      <c r="B21" s="19">
        <v>0.70999999999999996</v>
      </c>
      <c r="J21" s="26"/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Endhumathi Manoharan</dc:creator>
  <cp:lastModifiedBy>Manoj Surulirajan IN0086</cp:lastModifiedBy>
  <dcterms:created xsi:type="dcterms:W3CDTF">2025-05-20T06:25:00Z</dcterms:created>
  <dcterms:modified xsi:type="dcterms:W3CDTF">2026-03-26T05:56:56Z</dcterms:modified>
</cp:coreProperties>
</file>